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benledwon/Desktop/Github_connection/bike_share/figures/"/>
    </mc:Choice>
  </mc:AlternateContent>
  <xr:revisionPtr revIDLastSave="0" documentId="13_ncr:1_{ABEC766D-C2D9-5141-863C-E7D40EB476D7}" xr6:coauthVersionLast="47" xr6:coauthVersionMax="47" xr10:uidLastSave="{00000000-0000-0000-0000-000000000000}"/>
  <bookViews>
    <workbookView xWindow="0" yWindow="600" windowWidth="28800" windowHeight="16080" firstSheet="1" activeTab="8" xr2:uid="{00000000-000D-0000-FFFF-FFFF00000000}"/>
  </bookViews>
  <sheets>
    <sheet name="summary_overall" sheetId="1" r:id="rId1"/>
    <sheet name="rides_by_day_user" sheetId="2" r:id="rId2"/>
    <sheet name="avg_ride_by_day" sheetId="3" r:id="rId3"/>
    <sheet name="rides_by_hour" sheetId="4" r:id="rId4"/>
    <sheet name="rides_by_month" sheetId="5" r:id="rId5"/>
    <sheet name="commute_share" sheetId="6" r:id="rId6"/>
    <sheet name="round_trip_share" sheetId="7" r:id="rId7"/>
    <sheet name="long_ride_share" sheetId="8" r:id="rId8"/>
    <sheet name="Charts" sheetId="9" r:id="rId9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3" i="9" l="1"/>
  <c r="B152" i="9"/>
</calcChain>
</file>

<file path=xl/sharedStrings.xml><?xml version="1.0" encoding="utf-8"?>
<sst xmlns="http://schemas.openxmlformats.org/spreadsheetml/2006/main" count="244" uniqueCount="65">
  <si>
    <t>user_type</t>
  </si>
  <si>
    <t>ride_count</t>
  </si>
  <si>
    <t>avg_ride_seconds</t>
  </si>
  <si>
    <t>min_ride_seconds</t>
  </si>
  <si>
    <t>max_ride_seconds</t>
  </si>
  <si>
    <t>weekend_rides</t>
  </si>
  <si>
    <t>weekday_rides</t>
  </si>
  <si>
    <t>member</t>
  </si>
  <si>
    <t>casual</t>
  </si>
  <si>
    <t>unknown</t>
  </si>
  <si>
    <t>day_of_week</t>
  </si>
  <si>
    <t>Mon</t>
  </si>
  <si>
    <t>Tue</t>
  </si>
  <si>
    <t>Wed</t>
  </si>
  <si>
    <t>Thu</t>
  </si>
  <si>
    <t>Fri</t>
  </si>
  <si>
    <t>Sat</t>
  </si>
  <si>
    <t>Sun</t>
  </si>
  <si>
    <t>hour_of_day</t>
  </si>
  <si>
    <t>month</t>
  </si>
  <si>
    <t>commute_rides</t>
  </si>
  <si>
    <t>commute_share</t>
  </si>
  <si>
    <t>round_trip_rides</t>
  </si>
  <si>
    <t>total_rides</t>
  </si>
  <si>
    <t>round_trip_share</t>
  </si>
  <si>
    <t>rides_over_30m</t>
  </si>
  <si>
    <t>rides_over_60m</t>
  </si>
  <si>
    <t>share_over_30m</t>
  </si>
  <si>
    <t>share_over_60m</t>
  </si>
  <si>
    <t>key</t>
  </si>
  <si>
    <t>Member</t>
  </si>
  <si>
    <t>Casual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</si>
  <si>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</si>
  <si>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</si>
  <si>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</si>
  <si>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</si>
  <si>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</si>
  <si>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</si>
  <si>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</si>
  <si>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</si>
  <si>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</si>
  <si>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</si>
  <si>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</si>
  <si>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</si>
  <si>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</si>
  <si>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</si>
  <si>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</si>
  <si>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</si>
  <si>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</si>
  <si>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</si>
  <si>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</si>
  <si>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12am</t>
  </si>
  <si>
    <t>12pm</t>
  </si>
  <si>
    <t>3pm</t>
  </si>
  <si>
    <t xml:space="preserve"> </t>
  </si>
  <si>
    <t>6am</t>
  </si>
  <si>
    <t>3am</t>
  </si>
  <si>
    <t>9am</t>
  </si>
  <si>
    <t>6pm</t>
  </si>
  <si>
    <t>9pm</t>
  </si>
  <si>
    <t>Weekend Trips</t>
  </si>
  <si>
    <t>Weekday Trips</t>
  </si>
  <si>
    <t>30-60 min</t>
  </si>
  <si>
    <t>Over 60 min</t>
  </si>
  <si>
    <t>Under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</si>
</sst>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Avg Ride Length (sec) by Day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495000000000001"/>
          <c:y val="0.14450255761825392"/>
          <c:w val="0.78766948222381294"/>
          <c:h val="0.7116815142632718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Charts!$B$28</c:f>
              <c:strCache>
                <c:ptCount val="1"/>
                <c:pt idx="0">
                  <c:v>Member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elete val="1"/>
          </c:dLbls>
          <c:cat>
            <c:strRef>
              <c:f>Charts!$A$29:$A$35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Charts!$B$29:$B$35</c:f>
              <c:numCache>
                <c:formatCode>General</c:formatCode>
                <c:ptCount val="7"/>
                <c:pt idx="0">
                  <c:v>854.65</c:v>
                </c:pt>
                <c:pt idx="1">
                  <c:v>848.87</c:v>
                </c:pt>
                <c:pt idx="2">
                  <c:v>828.31</c:v>
                </c:pt>
                <c:pt idx="3">
                  <c:v>826.5</c:v>
                </c:pt>
                <c:pt idx="4">
                  <c:v>833.58</c:v>
                </c:pt>
                <c:pt idx="5">
                  <c:v>977.91</c:v>
                </c:pt>
                <c:pt idx="6">
                  <c:v>923.84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7-074B-B255-253D183A3C94}"/>
            </c:ext>
          </c:extLst>
        </c:ser>
        <c:ser>
          <c:idx val="1"/>
          <c:order val="1"/>
          <c:tx>
            <c:strRef>
              <c:f>Charts!$C$28</c:f>
              <c:strCache>
                <c:ptCount val="1"/>
                <c:pt idx="0">
                  <c:v>Casual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elete val="1"/>
          </c:dLbls>
          <c:cat>
            <c:strRef>
              <c:f>Charts!$A$29:$A$35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Charts!$C$29:$C$35</c:f>
              <c:numCache>
                <c:formatCode>General</c:formatCode>
                <c:ptCount val="7"/>
                <c:pt idx="0">
                  <c:v>3269.73</c:v>
                </c:pt>
                <c:pt idx="1">
                  <c:v>3444.55</c:v>
                </c:pt>
                <c:pt idx="2">
                  <c:v>3619.96</c:v>
                </c:pt>
                <c:pt idx="3">
                  <c:v>3596.79</c:v>
                </c:pt>
                <c:pt idx="4">
                  <c:v>3610.35</c:v>
                </c:pt>
                <c:pt idx="5">
                  <c:v>3243.57</c:v>
                </c:pt>
                <c:pt idx="6">
                  <c:v>3370.84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47-074B-B255-253D183A3C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</a:t>
                </a:r>
              </a:p>
            </c:rich>
          </c:tx>
          <c:layout>
            <c:manualLayout>
              <c:xMode val="edge"/>
              <c:yMode val="edge"/>
              <c:x val="0.49874865187306133"/>
              <c:y val="0.91139893097304447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Seconds</a:t>
                </a:r>
              </a:p>
            </c:rich>
          </c:tx>
          <c:layout>
            <c:manualLayout>
              <c:xMode val="edge"/>
              <c:yMode val="edge"/>
              <c:x val="3.1227564102564109E-2"/>
              <c:y val="0.43924861111111113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6033119658119652"/>
          <c:y val="2.5136111111111106E-2"/>
          <c:w val="0.21878138869005009"/>
          <c:h val="6.7506944843573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Rides by Month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503162393162395"/>
          <c:y val="0.14235218253968254"/>
          <c:w val="0.84340854700854695"/>
          <c:h val="0.7201126984126984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Charts!$B$55</c:f>
              <c:strCache>
                <c:ptCount val="1"/>
                <c:pt idx="0">
                  <c:v>Member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Charts!$A$56:$A$67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Charts!$B$56:$B$67</c:f>
              <c:numCache>
                <c:formatCode>General</c:formatCode>
                <c:ptCount val="12"/>
                <c:pt idx="0">
                  <c:v>98670</c:v>
                </c:pt>
                <c:pt idx="1">
                  <c:v>93548</c:v>
                </c:pt>
                <c:pt idx="2">
                  <c:v>149688</c:v>
                </c:pt>
                <c:pt idx="3">
                  <c:v>217566</c:v>
                </c:pt>
                <c:pt idx="4">
                  <c:v>285834</c:v>
                </c:pt>
                <c:pt idx="5">
                  <c:v>345177</c:v>
                </c:pt>
                <c:pt idx="6">
                  <c:v>381683</c:v>
                </c:pt>
                <c:pt idx="7">
                  <c:v>403295</c:v>
                </c:pt>
                <c:pt idx="8">
                  <c:v>364046</c:v>
                </c:pt>
                <c:pt idx="9">
                  <c:v>300751</c:v>
                </c:pt>
                <c:pt idx="10">
                  <c:v>158447</c:v>
                </c:pt>
                <c:pt idx="11">
                  <c:v>138662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0-F841-BA94-0F2BE75E746C}"/>
            </c:ext>
          </c:extLst>
        </c:ser>
        <c:ser>
          <c:idx val="1"/>
          <c:order val="1"/>
          <c:tx>
            <c:strRef>
              <c:f>Charts!$C$55</c:f>
              <c:strCache>
                <c:ptCount val="1"/>
                <c:pt idx="0">
                  <c:v>Casual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elete val="1"/>
          </c:dLbls>
          <c:cat>
            <c:strRef>
              <c:f>Charts!$A$56:$A$67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Charts!$C$56:$C$67</c:f>
              <c:numCache>
                <c:formatCode>General</c:formatCode>
                <c:ptCount val="12"/>
                <c:pt idx="0">
                  <c:v>4602</c:v>
                </c:pt>
                <c:pt idx="1">
                  <c:v>2638</c:v>
                </c:pt>
                <c:pt idx="2">
                  <c:v>15923</c:v>
                </c:pt>
                <c:pt idx="3">
                  <c:v>47744</c:v>
                </c:pt>
                <c:pt idx="4">
                  <c:v>81624</c:v>
                </c:pt>
                <c:pt idx="5">
                  <c:v>130218</c:v>
                </c:pt>
                <c:pt idx="6">
                  <c:v>175632</c:v>
                </c:pt>
                <c:pt idx="7">
                  <c:v>186889</c:v>
                </c:pt>
                <c:pt idx="8">
                  <c:v>129173</c:v>
                </c:pt>
                <c:pt idx="9">
                  <c:v>71035</c:v>
                </c:pt>
                <c:pt idx="10">
                  <c:v>18729</c:v>
                </c:pt>
                <c:pt idx="11">
                  <c:v>16430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10-F841-BA94-0F2BE75E74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6777115384615386"/>
              <c:y val="0.9157994047619048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Rides</a:t>
                </a:r>
              </a:p>
            </c:rich>
          </c:tx>
          <c:layout>
            <c:manualLayout>
              <c:xMode val="edge"/>
              <c:yMode val="edge"/>
              <c:x val="9.5181623931623934E-3"/>
              <c:y val="0.47761329365079364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641025641025636"/>
          <c:y val="3.0175793650793651E-2"/>
          <c:w val="0.24490192307692307"/>
          <c:h val="6.991388888888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800" b="1"/>
              <a:t>Rides by Hour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561495726495727"/>
          <c:y val="0.13575674603174603"/>
          <c:w val="0.83418205128205125"/>
          <c:h val="0.71507301587301586"/>
        </c:manualLayout>
      </c:layout>
      <c:lineChart>
        <c:grouping val="standard"/>
        <c:varyColors val="1"/>
        <c:ser>
          <c:idx val="0"/>
          <c:order val="0"/>
          <c:tx>
            <c:strRef>
              <c:f>Charts!$B$87</c:f>
              <c:strCache>
                <c:ptCount val="1"/>
                <c:pt idx="0">
                  <c:v>Member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Charts!$A$88:$A$111</c:f>
              <c:strCache>
                <c:ptCount val="22"/>
                <c:pt idx="0">
                  <c:v>12am</c:v>
                </c:pt>
                <c:pt idx="1">
                  <c:v> </c:v>
                </c:pt>
                <c:pt idx="2">
                  <c:v> </c:v>
                </c:pt>
                <c:pt idx="3">
                  <c:v>3am</c:v>
                </c:pt>
                <c:pt idx="4">
                  <c:v> </c:v>
                </c:pt>
                <c:pt idx="5">
                  <c:v> </c:v>
                </c:pt>
                <c:pt idx="6">
                  <c:v>6am</c:v>
                </c:pt>
                <c:pt idx="7">
                  <c:v> </c:v>
                </c:pt>
                <c:pt idx="8">
                  <c:v> </c:v>
                </c:pt>
                <c:pt idx="9">
                  <c:v>9am</c:v>
                </c:pt>
                <c:pt idx="10">
                  <c:v> </c:v>
                </c:pt>
                <c:pt idx="11">
                  <c:v> </c:v>
                </c:pt>
                <c:pt idx="12">
                  <c:v>12pm</c:v>
                </c:pt>
                <c:pt idx="13">
                  <c:v> </c:v>
                </c:pt>
                <c:pt idx="14">
                  <c:v> </c:v>
                </c:pt>
                <c:pt idx="15">
                  <c:v>3pm</c:v>
                </c:pt>
                <c:pt idx="16">
                  <c:v> </c:v>
                </c:pt>
                <c:pt idx="17">
                  <c:v> </c:v>
                </c:pt>
                <c:pt idx="18">
                  <c:v>6pm</c:v>
                </c:pt>
                <c:pt idx="19">
                  <c:v> </c:v>
                </c:pt>
                <c:pt idx="20">
                  <c:v> </c:v>
                </c:pt>
                <c:pt idx="21">
                  <c:v>9pm</c:v>
                </c:pt>
              </c:strCache>
            </c:strRef>
          </c:cat>
          <c:val>
            <c:numRef>
              <c:f>Charts!$B$88:$B$111</c:f>
              <c:numCache>
                <c:formatCode>General</c:formatCode>
                <c:ptCount val="24"/>
                <c:pt idx="0">
                  <c:v>15874</c:v>
                </c:pt>
                <c:pt idx="1">
                  <c:v>9033</c:v>
                </c:pt>
                <c:pt idx="2">
                  <c:v>5329</c:v>
                </c:pt>
                <c:pt idx="3">
                  <c:v>3686</c:v>
                </c:pt>
                <c:pt idx="4">
                  <c:v>6614</c:v>
                </c:pt>
                <c:pt idx="5">
                  <c:v>33156</c:v>
                </c:pt>
                <c:pt idx="6">
                  <c:v>102141</c:v>
                </c:pt>
                <c:pt idx="7">
                  <c:v>224842</c:v>
                </c:pt>
                <c:pt idx="8">
                  <c:v>283982</c:v>
                </c:pt>
                <c:pt idx="9">
                  <c:v>135131</c:v>
                </c:pt>
                <c:pt idx="10">
                  <c:v>100700</c:v>
                </c:pt>
                <c:pt idx="11">
                  <c:v>119930</c:v>
                </c:pt>
                <c:pt idx="12">
                  <c:v>136676</c:v>
                </c:pt>
                <c:pt idx="13">
                  <c:v>131946</c:v>
                </c:pt>
                <c:pt idx="14">
                  <c:v>127914</c:v>
                </c:pt>
                <c:pt idx="15">
                  <c:v>163346</c:v>
                </c:pt>
                <c:pt idx="16">
                  <c:v>292901</c:v>
                </c:pt>
                <c:pt idx="17">
                  <c:v>390667</c:v>
                </c:pt>
                <c:pt idx="18">
                  <c:v>247234</c:v>
                </c:pt>
                <c:pt idx="19">
                  <c:v>158385</c:v>
                </c:pt>
                <c:pt idx="20">
                  <c:v>99757</c:v>
                </c:pt>
                <c:pt idx="21">
                  <c:v>71268</c:v>
                </c:pt>
                <c:pt idx="22">
                  <c:v>48535</c:v>
                </c:pt>
                <c:pt idx="23">
                  <c:v>28320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B70-9040-98B0-8F3B9CB279AD}"/>
            </c:ext>
          </c:extLst>
        </c:ser>
        <c:ser>
          <c:idx val="1"/>
          <c:order val="1"/>
          <c:tx>
            <c:strRef>
              <c:f>Charts!$C$87</c:f>
              <c:strCache>
                <c:ptCount val="1"/>
                <c:pt idx="0">
                  <c:v>Casual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Charts!$A$88:$A$111</c:f>
              <c:strCache>
                <c:ptCount val="22"/>
                <c:pt idx="0">
                  <c:v>12am</c:v>
                </c:pt>
                <c:pt idx="1">
                  <c:v> </c:v>
                </c:pt>
                <c:pt idx="2">
                  <c:v> </c:v>
                </c:pt>
                <c:pt idx="3">
                  <c:v>3am</c:v>
                </c:pt>
                <c:pt idx="4">
                  <c:v> </c:v>
                </c:pt>
                <c:pt idx="5">
                  <c:v> </c:v>
                </c:pt>
                <c:pt idx="6">
                  <c:v>6am</c:v>
                </c:pt>
                <c:pt idx="7">
                  <c:v> </c:v>
                </c:pt>
                <c:pt idx="8">
                  <c:v> </c:v>
                </c:pt>
                <c:pt idx="9">
                  <c:v>9am</c:v>
                </c:pt>
                <c:pt idx="10">
                  <c:v> </c:v>
                </c:pt>
                <c:pt idx="11">
                  <c:v> </c:v>
                </c:pt>
                <c:pt idx="12">
                  <c:v>12pm</c:v>
                </c:pt>
                <c:pt idx="13">
                  <c:v> </c:v>
                </c:pt>
                <c:pt idx="14">
                  <c:v> </c:v>
                </c:pt>
                <c:pt idx="15">
                  <c:v>3pm</c:v>
                </c:pt>
                <c:pt idx="16">
                  <c:v> </c:v>
                </c:pt>
                <c:pt idx="17">
                  <c:v> </c:v>
                </c:pt>
                <c:pt idx="18">
                  <c:v>6pm</c:v>
                </c:pt>
                <c:pt idx="19">
                  <c:v> </c:v>
                </c:pt>
                <c:pt idx="20">
                  <c:v> </c:v>
                </c:pt>
                <c:pt idx="21">
                  <c:v>9pm</c:v>
                </c:pt>
              </c:strCache>
            </c:strRef>
          </c:cat>
          <c:val>
            <c:numRef>
              <c:f>Charts!$C$88:$C$111</c:f>
              <c:numCache>
                <c:formatCode>General</c:formatCode>
                <c:ptCount val="24"/>
                <c:pt idx="0">
                  <c:v>8204</c:v>
                </c:pt>
                <c:pt idx="1">
                  <c:v>5384</c:v>
                </c:pt>
                <c:pt idx="2">
                  <c:v>3335</c:v>
                </c:pt>
                <c:pt idx="3">
                  <c:v>1925</c:v>
                </c:pt>
                <c:pt idx="4">
                  <c:v>1175</c:v>
                </c:pt>
                <c:pt idx="5">
                  <c:v>2614</c:v>
                </c:pt>
                <c:pt idx="6">
                  <c:v>6091</c:v>
                </c:pt>
                <c:pt idx="7">
                  <c:v>12866</c:v>
                </c:pt>
                <c:pt idx="8">
                  <c:v>21798</c:v>
                </c:pt>
                <c:pt idx="9">
                  <c:v>28702</c:v>
                </c:pt>
                <c:pt idx="10">
                  <c:v>44764</c:v>
                </c:pt>
                <c:pt idx="11">
                  <c:v>60036</c:v>
                </c:pt>
                <c:pt idx="12">
                  <c:v>69591</c:v>
                </c:pt>
                <c:pt idx="13">
                  <c:v>75179</c:v>
                </c:pt>
                <c:pt idx="14">
                  <c:v>78471</c:v>
                </c:pt>
                <c:pt idx="15">
                  <c:v>80094</c:v>
                </c:pt>
                <c:pt idx="16">
                  <c:v>82877</c:v>
                </c:pt>
                <c:pt idx="17">
                  <c:v>84487</c:v>
                </c:pt>
                <c:pt idx="18">
                  <c:v>68019</c:v>
                </c:pt>
                <c:pt idx="19">
                  <c:v>50375</c:v>
                </c:pt>
                <c:pt idx="20">
                  <c:v>34403</c:v>
                </c:pt>
                <c:pt idx="21">
                  <c:v>24925</c:v>
                </c:pt>
                <c:pt idx="22">
                  <c:v>21166</c:v>
                </c:pt>
                <c:pt idx="23">
                  <c:v>14156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B70-9040-98B0-8F3B9CB279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Hour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Rides</a:t>
                </a:r>
              </a:p>
            </c:rich>
          </c:tx>
          <c:layout>
            <c:manualLayout>
              <c:xMode val="edge"/>
              <c:yMode val="edge"/>
              <c:x val="2.1729700854700853E-2"/>
              <c:y val="0.4363196428571427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0750106837606852"/>
          <c:y val="3.5277777777777776E-2"/>
          <c:w val="0.25868141025641028"/>
          <c:h val="6.9913888888888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Rides by Day of Week</a:t>
            </a:r>
          </a:p>
        </c:rich>
      </c:tx>
      <c:layout>
        <c:manualLayout>
          <c:xMode val="edge"/>
          <c:yMode val="edge"/>
          <c:x val="0.36729621694814646"/>
          <c:y val="3.6625844525175484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600077656577332"/>
          <c:y val="0.15694162707740864"/>
          <c:w val="0.7745574478075562"/>
          <c:h val="0.7110555126329459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Charts!$B$1</c:f>
              <c:strCache>
                <c:ptCount val="1"/>
                <c:pt idx="0">
                  <c:v>Member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elete val="1"/>
          </c:dLbls>
          <c:cat>
            <c:strRef>
              <c:f>Charts!$A$2:$A$8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Charts!$B$2:$B$8</c:f>
              <c:numCache>
                <c:formatCode>General</c:formatCode>
                <c:ptCount val="7"/>
                <c:pt idx="0">
                  <c:v>458780</c:v>
                </c:pt>
                <c:pt idx="1">
                  <c:v>497025</c:v>
                </c:pt>
                <c:pt idx="2">
                  <c:v>494277</c:v>
                </c:pt>
                <c:pt idx="3">
                  <c:v>486915</c:v>
                </c:pt>
                <c:pt idx="4">
                  <c:v>456966</c:v>
                </c:pt>
                <c:pt idx="5">
                  <c:v>287163</c:v>
                </c:pt>
                <c:pt idx="6">
                  <c:v>256241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B-384A-9522-DE6F4E4DE99E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Casual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dLbls>
            <c:delete val="1"/>
          </c:dLbls>
          <c:cat>
            <c:strRef>
              <c:f>Charts!$A$2:$A$8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Charts!$C$2:$C$8</c:f>
              <c:numCache>
                <c:formatCode>General</c:formatCode>
                <c:ptCount val="7"/>
                <c:pt idx="0">
                  <c:v>101489</c:v>
                </c:pt>
                <c:pt idx="1">
                  <c:v>88655</c:v>
                </c:pt>
                <c:pt idx="2">
                  <c:v>89745</c:v>
                </c:pt>
                <c:pt idx="3">
                  <c:v>101372</c:v>
                </c:pt>
                <c:pt idx="4">
                  <c:v>121141</c:v>
                </c:pt>
                <c:pt idx="5">
                  <c:v>208056</c:v>
                </c:pt>
                <c:pt idx="6">
                  <c:v>170179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9B-384A-9522-DE6F4E4DE9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Day</a:t>
                </a:r>
                <a:endParaRPr lang="en-US" b="1"/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1"/>
                  <a:t>Rides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3.7631210409652859E-2"/>
              <c:y val="0.4573190538030345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989064891478729"/>
          <c:y val="3.6569214131218455E-2"/>
          <c:w val="0.26143760718434783"/>
          <c:h val="0.148506488824801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Charts!$A$132</c:f>
              <c:strCache>
                <c:ptCount val="1"/>
                <c:pt idx="0">
                  <c:v>member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467-F649-9DD4-EEFC0512357E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467-F649-9DD4-EEFC0512357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Charts!$B$131:$C$131</c:f>
              <c:strCache>
                <c:ptCount val="2"/>
                <c:pt idx="0">
                  <c:v>Weekend Trips</c:v>
                </c:pt>
                <c:pt idx="1">
                  <c:v>Weekday Trips</c:v>
                </c:pt>
              </c:strCache>
            </c:strRef>
          </c:cat>
          <c:val>
            <c:numRef>
              <c:f>Charts!$B$132:$C$132</c:f>
              <c:numCache>
                <c:formatCode>General</c:formatCode>
                <c:ptCount val="2"/>
                <c:pt idx="0">
                  <c:v>0.18499697177778601</c:v>
                </c:pt>
                <c:pt idx="1">
                  <c:v>0.81500302822221393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F-8F48-97B1-41E06E6559F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Charts!$A$133</c:f>
              <c:strCache>
                <c:ptCount val="1"/>
                <c:pt idx="0">
                  <c:v>casual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F57-704B-9593-06B0DC661C0D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F57-704B-9593-06B0DC661C0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Charts!$B$131:$C$131</c:f>
              <c:strCache>
                <c:ptCount val="2"/>
                <c:pt idx="0">
                  <c:v>Weekend Trips</c:v>
                </c:pt>
                <c:pt idx="1">
                  <c:v>Weekday Trips</c:v>
                </c:pt>
              </c:strCache>
            </c:strRef>
          </c:cat>
          <c:val>
            <c:numRef>
              <c:f>Charts!$B$133:$C$133</c:f>
              <c:numCache>
                <c:formatCode>General</c:formatCode>
                <c:ptCount val="2"/>
                <c:pt idx="0">
                  <c:v>0.42950159941042682</c:v>
                </c:pt>
                <c:pt idx="1">
                  <c:v>0.57049840058957324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0-4045-BD82-DD0797FE12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Charts!$A$152</c:f>
              <c:strCache>
                <c:ptCount val="1"/>
                <c:pt idx="0">
                  <c:v>member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291-0B4F-9101-0364239B921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0291-0B4F-9101-0364239B9210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291-0B4F-9101-0364239B921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93.9%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291-0B4F-9101-0364239B921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5.7%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291-0B4F-9101-0364239B9210}"/>
                </c:ext>
              </c:extLst>
            </c:dLbl>
            <c:dLbl>
              <c:idx val="2"/>
              <c:layout>
                <c:manualLayout>
                  <c:x val="-4.1791237633757368E-2"/>
                  <c:y val="-2.92740046838407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0.4%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291-0B4F-9101-0364239B921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Charts!$B$151:$D$151</c:f>
              <c:strCache>
                <c:ptCount val="3"/>
                <c:pt idx="0">
                  <c:v>Under 30 min</c:v>
                </c:pt>
                <c:pt idx="1">
                  <c:v>30-60 min</c:v>
                </c:pt>
                <c:pt idx="2">
                  <c:v>Over 60 min</c:v>
                </c:pt>
              </c:strCache>
            </c:strRef>
          </c:cat>
          <c:val>
            <c:numRef>
              <c:f>Charts!$B$152:$D$152</c:f>
              <c:numCache>
                <c:formatCode>General</c:formatCode>
                <c:ptCount val="3"/>
                <c:pt idx="0">
                  <c:v>0.93869999999999998</c:v>
                </c:pt>
                <c:pt idx="1">
                  <c:v>5.7099999999999998E-2</c:v>
                </c:pt>
                <c:pt idx="2">
                  <c:v>4.1999999999999997E-3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1-0B4F-9101-0364239B921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Charts!$A$153</c:f>
              <c:strCache>
                <c:ptCount val="1"/>
                <c:pt idx="0">
                  <c:v>casual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2A0-3D46-80CB-17DDDDF911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2A0-3D46-80CB-17DDDDF9114D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2A0-3D46-80CB-17DDDDF9114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Charts!$B$151:$D$151</c:f>
              <c:strCache>
                <c:ptCount val="3"/>
                <c:pt idx="0">
                  <c:v>Under 30 min</c:v>
                </c:pt>
                <c:pt idx="1">
                  <c:v>30-60 min</c:v>
                </c:pt>
                <c:pt idx="2">
                  <c:v>Over 60 min</c:v>
                </c:pt>
              </c:strCache>
            </c:strRef>
          </c:cat>
          <c:val>
            <c:numRef>
              <c:f>Charts!$B$153:$D$153</c:f>
              <c:numCache>
                <c:formatCode>General</c:formatCode>
                <c:ptCount val="3"/>
                <c:pt idx="0">
                  <c:v>0.42480000000000007</c:v>
                </c:pt>
                <c:pt idx="1">
                  <c:v>0.41</c:v>
                </c:pt>
                <c:pt idx="2">
                  <c:v>0.16520000000000001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B-4C45-99A1-3A169672B6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228600</xdr:colOff>
      <xdr:row>33</xdr:row>
      <xdr:rowOff>114300</xdr:rowOff>
    </xdr:from>
    <xdr:ext cx="10477500" cy="5219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584200</xdr:colOff>
      <xdr:row>62</xdr:row>
      <xdr:rowOff>114300</xdr:rowOff>
    </xdr:from>
    <xdr:ext cx="9360000" cy="50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12700</xdr:colOff>
      <xdr:row>92</xdr:row>
      <xdr:rowOff>38100</xdr:rowOff>
    </xdr:from>
    <xdr:ext cx="9360000" cy="50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660400</xdr:colOff>
      <xdr:row>0</xdr:row>
      <xdr:rowOff>127000</xdr:rowOff>
    </xdr:from>
    <xdr:ext cx="10782300" cy="60833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78FE8C-2ACC-F442-47C7-6CB34E6E1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5</xdr:col>
      <xdr:colOff>82550</xdr:colOff>
      <xdr:row>120</xdr:row>
      <xdr:rowOff>171450</xdr:rowOff>
    </xdr:from>
    <xdr:to>
      <xdr:col>11</xdr:col>
      <xdr:colOff>615950</xdr:colOff>
      <xdr:row>135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83D11D-1130-BB2D-5680-73B8584AD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82550</xdr:colOff>
      <xdr:row>120</xdr:row>
      <xdr:rowOff>146050</xdr:rowOff>
    </xdr:from>
    <xdr:to>
      <xdr:col>18</xdr:col>
      <xdr:colOff>615950</xdr:colOff>
      <xdr:row>135</xdr:row>
      <xdr:rowOff>31750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5EB5EE-2F23-6735-12E6-811840908A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393700</xdr:colOff>
      <xdr:row>140</xdr:row>
      <xdr:rowOff>38100</xdr:rowOff>
    </xdr:from>
    <xdr:to>
      <xdr:col>11</xdr:col>
      <xdr:colOff>635000</xdr:colOff>
      <xdr:row>154</xdr:row>
      <xdr:rowOff>82550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5EDFB82-C33B-7E8C-C092-FCD2B3AC6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114300</xdr:colOff>
      <xdr:row>139</xdr:row>
      <xdr:rowOff>158750</xdr:rowOff>
    </xdr:from>
    <xdr:to>
      <xdr:col>18</xdr:col>
      <xdr:colOff>647700</xdr:colOff>
      <xdr:row>154</xdr:row>
      <xdr:rowOff>44450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027D4F-43D3-4D16-3F4B-0355BFB0C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2937367</v>
      </c>
      <c r="C2">
        <v>859.38</v>
      </c>
      <c r="D2">
        <v>61</v>
      </c>
      <c r="E2">
        <v>9056633</v>
      </c>
      <c r="F2">
        <v>543404</v>
      </c>
      <c r="G2">
        <v>2393963</v>
      </c>
    </row>
    <row r="3" spans="1:7" x14ac:dyDescent="0.2">
      <c r="A3" t="s">
        <v>8</v>
      </c>
      <c r="B3">
        <v>880637</v>
      </c>
      <c r="C3">
        <v>3420.89</v>
      </c>
      <c r="D3">
        <v>61</v>
      </c>
      <c r="E3">
        <v>10628400</v>
      </c>
      <c r="F3">
        <v>378235</v>
      </c>
      <c r="G3">
        <v>502402</v>
      </c>
    </row>
    <row r="4" spans="1:7" x14ac:dyDescent="0.2">
      <c r="A4" t="s">
        <v>9</v>
      </c>
      <c r="B4">
        <v>0</v>
      </c>
      <c r="C4">
        <v>0</v>
      </c>
      <c r="F4">
        <v>0</v>
      </c>
      <c r="G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10</v>
      </c>
      <c r="B1" t="s">
        <v>0</v>
      </c>
      <c r="C1" t="s">
        <v>1</v>
      </c>
    </row>
    <row r="2" spans="1:3" x14ac:dyDescent="0.2">
      <c r="A2" t="s">
        <v>11</v>
      </c>
      <c r="B2" t="s">
        <v>7</v>
      </c>
      <c r="C2">
        <v>458780</v>
      </c>
    </row>
    <row r="3" spans="1:3" x14ac:dyDescent="0.2">
      <c r="A3" t="s">
        <v>11</v>
      </c>
      <c r="B3" t="s">
        <v>8</v>
      </c>
      <c r="C3">
        <v>101489</v>
      </c>
    </row>
    <row r="4" spans="1:3" x14ac:dyDescent="0.2">
      <c r="A4" t="s">
        <v>12</v>
      </c>
      <c r="B4" t="s">
        <v>7</v>
      </c>
      <c r="C4">
        <v>497025</v>
      </c>
    </row>
    <row r="5" spans="1:3" x14ac:dyDescent="0.2">
      <c r="A5" t="s">
        <v>12</v>
      </c>
      <c r="B5" t="s">
        <v>8</v>
      </c>
      <c r="C5">
        <v>88655</v>
      </c>
    </row>
    <row r="6" spans="1:3" x14ac:dyDescent="0.2">
      <c r="A6" t="s">
        <v>13</v>
      </c>
      <c r="B6" t="s">
        <v>7</v>
      </c>
      <c r="C6">
        <v>494277</v>
      </c>
    </row>
    <row r="7" spans="1:3" x14ac:dyDescent="0.2">
      <c r="A7" t="s">
        <v>13</v>
      </c>
      <c r="B7" t="s">
        <v>8</v>
      </c>
      <c r="C7">
        <v>89745</v>
      </c>
    </row>
    <row r="8" spans="1:3" x14ac:dyDescent="0.2">
      <c r="A8" t="s">
        <v>14</v>
      </c>
      <c r="B8" t="s">
        <v>7</v>
      </c>
      <c r="C8">
        <v>486915</v>
      </c>
    </row>
    <row r="9" spans="1:3" x14ac:dyDescent="0.2">
      <c r="A9" t="s">
        <v>14</v>
      </c>
      <c r="B9" t="s">
        <v>8</v>
      </c>
      <c r="C9">
        <v>101372</v>
      </c>
    </row>
    <row r="10" spans="1:3" x14ac:dyDescent="0.2">
      <c r="A10" t="s">
        <v>15</v>
      </c>
      <c r="B10" t="s">
        <v>7</v>
      </c>
      <c r="C10">
        <v>456966</v>
      </c>
    </row>
    <row r="11" spans="1:3" x14ac:dyDescent="0.2">
      <c r="A11" t="s">
        <v>15</v>
      </c>
      <c r="B11" t="s">
        <v>8</v>
      </c>
      <c r="C11">
        <v>121141</v>
      </c>
    </row>
    <row r="12" spans="1:3" x14ac:dyDescent="0.2">
      <c r="A12" t="s">
        <v>16</v>
      </c>
      <c r="B12" t="s">
        <v>7</v>
      </c>
      <c r="C12">
        <v>287163</v>
      </c>
    </row>
    <row r="13" spans="1:3" x14ac:dyDescent="0.2">
      <c r="A13" t="s">
        <v>16</v>
      </c>
      <c r="B13" t="s">
        <v>8</v>
      </c>
      <c r="C13">
        <v>208056</v>
      </c>
    </row>
    <row r="14" spans="1:3" x14ac:dyDescent="0.2">
      <c r="A14" t="s">
        <v>17</v>
      </c>
      <c r="B14" t="s">
        <v>7</v>
      </c>
      <c r="C14">
        <v>256241</v>
      </c>
    </row>
    <row r="15" spans="1:3" x14ac:dyDescent="0.2">
      <c r="A15" t="s">
        <v>17</v>
      </c>
      <c r="B15" t="s">
        <v>8</v>
      </c>
      <c r="C15">
        <v>170179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10</v>
      </c>
      <c r="B1" t="s">
        <v>0</v>
      </c>
      <c r="C1" t="s">
        <v>2</v>
      </c>
    </row>
    <row r="2" spans="1:3" x14ac:dyDescent="0.2">
      <c r="A2" t="s">
        <v>11</v>
      </c>
      <c r="B2" t="s">
        <v>7</v>
      </c>
      <c r="C2">
        <v>854.65</v>
      </c>
    </row>
    <row r="3" spans="1:3" x14ac:dyDescent="0.2">
      <c r="A3" t="s">
        <v>11</v>
      </c>
      <c r="B3" t="s">
        <v>8</v>
      </c>
      <c r="C3">
        <v>3269.73</v>
      </c>
    </row>
    <row r="4" spans="1:3" x14ac:dyDescent="0.2">
      <c r="A4" t="s">
        <v>12</v>
      </c>
      <c r="B4" t="s">
        <v>7</v>
      </c>
      <c r="C4">
        <v>848.87</v>
      </c>
    </row>
    <row r="5" spans="1:3" x14ac:dyDescent="0.2">
      <c r="A5" t="s">
        <v>12</v>
      </c>
      <c r="B5" t="s">
        <v>8</v>
      </c>
      <c r="C5">
        <v>3444.55</v>
      </c>
    </row>
    <row r="6" spans="1:3" x14ac:dyDescent="0.2">
      <c r="A6" t="s">
        <v>13</v>
      </c>
      <c r="B6" t="s">
        <v>7</v>
      </c>
      <c r="C6">
        <v>828.31</v>
      </c>
    </row>
    <row r="7" spans="1:3" x14ac:dyDescent="0.2">
      <c r="A7" t="s">
        <v>13</v>
      </c>
      <c r="B7" t="s">
        <v>8</v>
      </c>
      <c r="C7">
        <v>3619.96</v>
      </c>
    </row>
    <row r="8" spans="1:3" x14ac:dyDescent="0.2">
      <c r="A8" t="s">
        <v>14</v>
      </c>
      <c r="B8" t="s">
        <v>7</v>
      </c>
      <c r="C8">
        <v>826.5</v>
      </c>
    </row>
    <row r="9" spans="1:3" x14ac:dyDescent="0.2">
      <c r="A9" t="s">
        <v>14</v>
      </c>
      <c r="B9" t="s">
        <v>8</v>
      </c>
      <c r="C9">
        <v>3596.79</v>
      </c>
    </row>
    <row r="10" spans="1:3" x14ac:dyDescent="0.2">
      <c r="A10" t="s">
        <v>15</v>
      </c>
      <c r="B10" t="s">
        <v>7</v>
      </c>
      <c r="C10">
        <v>833.58</v>
      </c>
    </row>
    <row r="11" spans="1:3" x14ac:dyDescent="0.2">
      <c r="A11" t="s">
        <v>15</v>
      </c>
      <c r="B11" t="s">
        <v>8</v>
      </c>
      <c r="C11">
        <v>3610.35</v>
      </c>
    </row>
    <row r="12" spans="1:3" x14ac:dyDescent="0.2">
      <c r="A12" t="s">
        <v>16</v>
      </c>
      <c r="B12" t="s">
        <v>7</v>
      </c>
      <c r="C12">
        <v>977.91</v>
      </c>
    </row>
    <row r="13" spans="1:3" x14ac:dyDescent="0.2">
      <c r="A13" t="s">
        <v>16</v>
      </c>
      <c r="B13" t="s">
        <v>8</v>
      </c>
      <c r="C13">
        <v>3243.57</v>
      </c>
    </row>
    <row r="14" spans="1:3" x14ac:dyDescent="0.2">
      <c r="A14" t="s">
        <v>17</v>
      </c>
      <c r="B14" t="s">
        <v>7</v>
      </c>
      <c r="C14">
        <v>923.84</v>
      </c>
    </row>
    <row r="15" spans="1:3" x14ac:dyDescent="0.2">
      <c r="A15" t="s">
        <v>17</v>
      </c>
      <c r="B15" t="s">
        <v>8</v>
      </c>
      <c r="C15">
        <v>3370.84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18</v>
      </c>
      <c r="B1" t="s">
        <v>0</v>
      </c>
      <c r="C1" t="s">
        <v>1</v>
      </c>
    </row>
    <row r="2" spans="1:3" x14ac:dyDescent="0.2">
      <c r="A2">
        <v>0</v>
      </c>
      <c r="B2" t="s">
        <v>7</v>
      </c>
      <c r="C2">
        <v>15874</v>
      </c>
    </row>
    <row r="3" spans="1:3" x14ac:dyDescent="0.2">
      <c r="A3">
        <v>0</v>
      </c>
      <c r="B3" t="s">
        <v>8</v>
      </c>
      <c r="C3">
        <v>8204</v>
      </c>
    </row>
    <row r="4" spans="1:3" x14ac:dyDescent="0.2">
      <c r="A4">
        <v>1</v>
      </c>
      <c r="B4" t="s">
        <v>7</v>
      </c>
      <c r="C4">
        <v>9033</v>
      </c>
    </row>
    <row r="5" spans="1:3" x14ac:dyDescent="0.2">
      <c r="A5">
        <v>1</v>
      </c>
      <c r="B5" t="s">
        <v>8</v>
      </c>
      <c r="C5">
        <v>5384</v>
      </c>
    </row>
    <row r="6" spans="1:3" x14ac:dyDescent="0.2">
      <c r="A6">
        <v>2</v>
      </c>
      <c r="B6" t="s">
        <v>7</v>
      </c>
      <c r="C6">
        <v>5329</v>
      </c>
    </row>
    <row r="7" spans="1:3" x14ac:dyDescent="0.2">
      <c r="A7">
        <v>2</v>
      </c>
      <c r="B7" t="s">
        <v>8</v>
      </c>
      <c r="C7">
        <v>3335</v>
      </c>
    </row>
    <row r="8" spans="1:3" x14ac:dyDescent="0.2">
      <c r="A8">
        <v>3</v>
      </c>
      <c r="B8" t="s">
        <v>7</v>
      </c>
      <c r="C8">
        <v>3686</v>
      </c>
    </row>
    <row r="9" spans="1:3" x14ac:dyDescent="0.2">
      <c r="A9">
        <v>3</v>
      </c>
      <c r="B9" t="s">
        <v>8</v>
      </c>
      <c r="C9">
        <v>1925</v>
      </c>
    </row>
    <row r="10" spans="1:3" x14ac:dyDescent="0.2">
      <c r="A10">
        <v>4</v>
      </c>
      <c r="B10" t="s">
        <v>7</v>
      </c>
      <c r="C10">
        <v>6614</v>
      </c>
    </row>
    <row r="11" spans="1:3" x14ac:dyDescent="0.2">
      <c r="A11">
        <v>4</v>
      </c>
      <c r="B11" t="s">
        <v>8</v>
      </c>
      <c r="C11">
        <v>1175</v>
      </c>
    </row>
    <row r="12" spans="1:3" x14ac:dyDescent="0.2">
      <c r="A12">
        <v>5</v>
      </c>
      <c r="B12" t="s">
        <v>7</v>
      </c>
      <c r="C12">
        <v>33156</v>
      </c>
    </row>
    <row r="13" spans="1:3" x14ac:dyDescent="0.2">
      <c r="A13">
        <v>5</v>
      </c>
      <c r="B13" t="s">
        <v>8</v>
      </c>
      <c r="C13">
        <v>2614</v>
      </c>
    </row>
    <row r="14" spans="1:3" x14ac:dyDescent="0.2">
      <c r="A14">
        <v>6</v>
      </c>
      <c r="B14" t="s">
        <v>7</v>
      </c>
      <c r="C14">
        <v>102141</v>
      </c>
    </row>
    <row r="15" spans="1:3" x14ac:dyDescent="0.2">
      <c r="A15">
        <v>6</v>
      </c>
      <c r="B15" t="s">
        <v>8</v>
      </c>
      <c r="C15">
        <v>6091</v>
      </c>
    </row>
    <row r="16" spans="1:3" x14ac:dyDescent="0.2">
      <c r="A16">
        <v>7</v>
      </c>
      <c r="B16" t="s">
        <v>7</v>
      </c>
      <c r="C16">
        <v>224842</v>
      </c>
    </row>
    <row r="17" spans="1:3" x14ac:dyDescent="0.2">
      <c r="A17">
        <v>7</v>
      </c>
      <c r="B17" t="s">
        <v>8</v>
      </c>
      <c r="C17">
        <v>12866</v>
      </c>
    </row>
    <row r="18" spans="1:3" x14ac:dyDescent="0.2">
      <c r="A18">
        <v>8</v>
      </c>
      <c r="B18" t="s">
        <v>7</v>
      </c>
      <c r="C18">
        <v>283982</v>
      </c>
    </row>
    <row r="19" spans="1:3" x14ac:dyDescent="0.2">
      <c r="A19">
        <v>8</v>
      </c>
      <c r="B19" t="s">
        <v>8</v>
      </c>
      <c r="C19">
        <v>21798</v>
      </c>
    </row>
    <row r="20" spans="1:3" x14ac:dyDescent="0.2">
      <c r="A20">
        <v>9</v>
      </c>
      <c r="B20" t="s">
        <v>7</v>
      </c>
      <c r="C20">
        <v>135131</v>
      </c>
    </row>
    <row r="21" spans="1:3" x14ac:dyDescent="0.2">
      <c r="A21">
        <v>9</v>
      </c>
      <c r="B21" t="s">
        <v>8</v>
      </c>
      <c r="C21">
        <v>28702</v>
      </c>
    </row>
    <row r="22" spans="1:3" x14ac:dyDescent="0.2">
      <c r="A22">
        <v>10</v>
      </c>
      <c r="B22" t="s">
        <v>7</v>
      </c>
      <c r="C22">
        <v>100700</v>
      </c>
    </row>
    <row r="23" spans="1:3" x14ac:dyDescent="0.2">
      <c r="A23">
        <v>10</v>
      </c>
      <c r="B23" t="s">
        <v>8</v>
      </c>
      <c r="C23">
        <v>44764</v>
      </c>
    </row>
    <row r="24" spans="1:3" x14ac:dyDescent="0.2">
      <c r="A24">
        <v>11</v>
      </c>
      <c r="B24" t="s">
        <v>7</v>
      </c>
      <c r="C24">
        <v>119930</v>
      </c>
    </row>
    <row r="25" spans="1:3" x14ac:dyDescent="0.2">
      <c r="A25">
        <v>11</v>
      </c>
      <c r="B25" t="s">
        <v>8</v>
      </c>
      <c r="C25">
        <v>60036</v>
      </c>
    </row>
    <row r="26" spans="1:3" x14ac:dyDescent="0.2">
      <c r="A26">
        <v>12</v>
      </c>
      <c r="B26" t="s">
        <v>7</v>
      </c>
      <c r="C26">
        <v>136676</v>
      </c>
    </row>
    <row r="27" spans="1:3" x14ac:dyDescent="0.2">
      <c r="A27">
        <v>12</v>
      </c>
      <c r="B27" t="s">
        <v>8</v>
      </c>
      <c r="C27">
        <v>69591</v>
      </c>
    </row>
    <row r="28" spans="1:3" x14ac:dyDescent="0.2">
      <c r="A28">
        <v>13</v>
      </c>
      <c r="B28" t="s">
        <v>7</v>
      </c>
      <c r="C28">
        <v>131946</v>
      </c>
    </row>
    <row r="29" spans="1:3" x14ac:dyDescent="0.2">
      <c r="A29">
        <v>13</v>
      </c>
      <c r="B29" t="s">
        <v>8</v>
      </c>
      <c r="C29">
        <v>75179</v>
      </c>
    </row>
    <row r="30" spans="1:3" x14ac:dyDescent="0.2">
      <c r="A30">
        <v>14</v>
      </c>
      <c r="B30" t="s">
        <v>7</v>
      </c>
      <c r="C30">
        <v>127914</v>
      </c>
    </row>
    <row r="31" spans="1:3" x14ac:dyDescent="0.2">
      <c r="A31">
        <v>14</v>
      </c>
      <c r="B31" t="s">
        <v>8</v>
      </c>
      <c r="C31">
        <v>78471</v>
      </c>
    </row>
    <row r="32" spans="1:3" x14ac:dyDescent="0.2">
      <c r="A32">
        <v>15</v>
      </c>
      <c r="B32" t="s">
        <v>7</v>
      </c>
      <c r="C32">
        <v>163346</v>
      </c>
    </row>
    <row r="33" spans="1:3" x14ac:dyDescent="0.2">
      <c r="A33">
        <v>15</v>
      </c>
      <c r="B33" t="s">
        <v>8</v>
      </c>
      <c r="C33">
        <v>80094</v>
      </c>
    </row>
    <row r="34" spans="1:3" x14ac:dyDescent="0.2">
      <c r="A34">
        <v>16</v>
      </c>
      <c r="B34" t="s">
        <v>7</v>
      </c>
      <c r="C34">
        <v>292901</v>
      </c>
    </row>
    <row r="35" spans="1:3" x14ac:dyDescent="0.2">
      <c r="A35">
        <v>16</v>
      </c>
      <c r="B35" t="s">
        <v>8</v>
      </c>
      <c r="C35">
        <v>82877</v>
      </c>
    </row>
    <row r="36" spans="1:3" x14ac:dyDescent="0.2">
      <c r="A36">
        <v>17</v>
      </c>
      <c r="B36" t="s">
        <v>7</v>
      </c>
      <c r="C36">
        <v>390667</v>
      </c>
    </row>
    <row r="37" spans="1:3" x14ac:dyDescent="0.2">
      <c r="A37">
        <v>17</v>
      </c>
      <c r="B37" t="s">
        <v>8</v>
      </c>
      <c r="C37">
        <v>84487</v>
      </c>
    </row>
    <row r="38" spans="1:3" x14ac:dyDescent="0.2">
      <c r="A38">
        <v>18</v>
      </c>
      <c r="B38" t="s">
        <v>7</v>
      </c>
      <c r="C38">
        <v>247234</v>
      </c>
    </row>
    <row r="39" spans="1:3" x14ac:dyDescent="0.2">
      <c r="A39">
        <v>18</v>
      </c>
      <c r="B39" t="s">
        <v>8</v>
      </c>
      <c r="C39">
        <v>68019</v>
      </c>
    </row>
    <row r="40" spans="1:3" x14ac:dyDescent="0.2">
      <c r="A40">
        <v>19</v>
      </c>
      <c r="B40" t="s">
        <v>7</v>
      </c>
      <c r="C40">
        <v>158385</v>
      </c>
    </row>
    <row r="41" spans="1:3" x14ac:dyDescent="0.2">
      <c r="A41">
        <v>19</v>
      </c>
      <c r="B41" t="s">
        <v>8</v>
      </c>
      <c r="C41">
        <v>50375</v>
      </c>
    </row>
    <row r="42" spans="1:3" x14ac:dyDescent="0.2">
      <c r="A42">
        <v>20</v>
      </c>
      <c r="B42" t="s">
        <v>7</v>
      </c>
      <c r="C42">
        <v>99757</v>
      </c>
    </row>
    <row r="43" spans="1:3" x14ac:dyDescent="0.2">
      <c r="A43">
        <v>20</v>
      </c>
      <c r="B43" t="s">
        <v>8</v>
      </c>
      <c r="C43">
        <v>34403</v>
      </c>
    </row>
    <row r="44" spans="1:3" x14ac:dyDescent="0.2">
      <c r="A44">
        <v>21</v>
      </c>
      <c r="B44" t="s">
        <v>7</v>
      </c>
      <c r="C44">
        <v>71268</v>
      </c>
    </row>
    <row r="45" spans="1:3" x14ac:dyDescent="0.2">
      <c r="A45">
        <v>21</v>
      </c>
      <c r="B45" t="s">
        <v>8</v>
      </c>
      <c r="C45">
        <v>24925</v>
      </c>
    </row>
    <row r="46" spans="1:3" x14ac:dyDescent="0.2">
      <c r="A46">
        <v>22</v>
      </c>
      <c r="B46" t="s">
        <v>7</v>
      </c>
      <c r="C46">
        <v>48535</v>
      </c>
    </row>
    <row r="47" spans="1:3" x14ac:dyDescent="0.2">
      <c r="A47">
        <v>22</v>
      </c>
      <c r="B47" t="s">
        <v>8</v>
      </c>
      <c r="C47">
        <v>21166</v>
      </c>
    </row>
    <row r="48" spans="1:3" x14ac:dyDescent="0.2">
      <c r="A48">
        <v>23</v>
      </c>
      <c r="B48" t="s">
        <v>7</v>
      </c>
      <c r="C48">
        <v>28320</v>
      </c>
    </row>
    <row r="49" spans="1:3" x14ac:dyDescent="0.2">
      <c r="A49">
        <v>23</v>
      </c>
      <c r="B49" t="s">
        <v>8</v>
      </c>
      <c r="C49">
        <v>14156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t="s">
        <v>19</v>
      </c>
      <c r="B1" t="s">
        <v>0</v>
      </c>
      <c r="C1" t="s">
        <v>1</v>
      </c>
    </row>
    <row r="2" spans="1:3" x14ac:dyDescent="0.2">
      <c r="A2">
        <v>1</v>
      </c>
      <c r="B2" t="s">
        <v>7</v>
      </c>
      <c r="C2">
        <v>98670</v>
      </c>
    </row>
    <row r="3" spans="1:3" x14ac:dyDescent="0.2">
      <c r="A3">
        <v>1</v>
      </c>
      <c r="B3" t="s">
        <v>8</v>
      </c>
      <c r="C3">
        <v>4602</v>
      </c>
    </row>
    <row r="4" spans="1:3" x14ac:dyDescent="0.2">
      <c r="A4">
        <v>2</v>
      </c>
      <c r="B4" t="s">
        <v>7</v>
      </c>
      <c r="C4">
        <v>93548</v>
      </c>
    </row>
    <row r="5" spans="1:3" x14ac:dyDescent="0.2">
      <c r="A5">
        <v>2</v>
      </c>
      <c r="B5" t="s">
        <v>8</v>
      </c>
      <c r="C5">
        <v>2638</v>
      </c>
    </row>
    <row r="6" spans="1:3" x14ac:dyDescent="0.2">
      <c r="A6">
        <v>3</v>
      </c>
      <c r="B6" t="s">
        <v>7</v>
      </c>
      <c r="C6">
        <v>149688</v>
      </c>
    </row>
    <row r="7" spans="1:3" x14ac:dyDescent="0.2">
      <c r="A7">
        <v>3</v>
      </c>
      <c r="B7" t="s">
        <v>8</v>
      </c>
      <c r="C7">
        <v>15923</v>
      </c>
    </row>
    <row r="8" spans="1:3" x14ac:dyDescent="0.2">
      <c r="A8">
        <v>4</v>
      </c>
      <c r="B8" t="s">
        <v>7</v>
      </c>
      <c r="C8">
        <v>217566</v>
      </c>
    </row>
    <row r="9" spans="1:3" x14ac:dyDescent="0.2">
      <c r="A9">
        <v>4</v>
      </c>
      <c r="B9" t="s">
        <v>8</v>
      </c>
      <c r="C9">
        <v>47744</v>
      </c>
    </row>
    <row r="10" spans="1:3" x14ac:dyDescent="0.2">
      <c r="A10">
        <v>5</v>
      </c>
      <c r="B10" t="s">
        <v>7</v>
      </c>
      <c r="C10">
        <v>285834</v>
      </c>
    </row>
    <row r="11" spans="1:3" x14ac:dyDescent="0.2">
      <c r="A11">
        <v>5</v>
      </c>
      <c r="B11" t="s">
        <v>8</v>
      </c>
      <c r="C11">
        <v>81624</v>
      </c>
    </row>
    <row r="12" spans="1:3" x14ac:dyDescent="0.2">
      <c r="A12">
        <v>6</v>
      </c>
      <c r="B12" t="s">
        <v>7</v>
      </c>
      <c r="C12">
        <v>345177</v>
      </c>
    </row>
    <row r="13" spans="1:3" x14ac:dyDescent="0.2">
      <c r="A13">
        <v>6</v>
      </c>
      <c r="B13" t="s">
        <v>8</v>
      </c>
      <c r="C13">
        <v>130218</v>
      </c>
    </row>
    <row r="14" spans="1:3" x14ac:dyDescent="0.2">
      <c r="A14">
        <v>7</v>
      </c>
      <c r="B14" t="s">
        <v>7</v>
      </c>
      <c r="C14">
        <v>381683</v>
      </c>
    </row>
    <row r="15" spans="1:3" x14ac:dyDescent="0.2">
      <c r="A15">
        <v>7</v>
      </c>
      <c r="B15" t="s">
        <v>8</v>
      </c>
      <c r="C15">
        <v>175632</v>
      </c>
    </row>
    <row r="16" spans="1:3" x14ac:dyDescent="0.2">
      <c r="A16">
        <v>8</v>
      </c>
      <c r="B16" t="s">
        <v>7</v>
      </c>
      <c r="C16">
        <v>403295</v>
      </c>
    </row>
    <row r="17" spans="1:3" x14ac:dyDescent="0.2">
      <c r="A17">
        <v>8</v>
      </c>
      <c r="B17" t="s">
        <v>8</v>
      </c>
      <c r="C17">
        <v>186889</v>
      </c>
    </row>
    <row r="18" spans="1:3" x14ac:dyDescent="0.2">
      <c r="A18">
        <v>9</v>
      </c>
      <c r="B18" t="s">
        <v>7</v>
      </c>
      <c r="C18">
        <v>364046</v>
      </c>
    </row>
    <row r="19" spans="1:3" x14ac:dyDescent="0.2">
      <c r="A19">
        <v>9</v>
      </c>
      <c r="B19" t="s">
        <v>8</v>
      </c>
      <c r="C19">
        <v>129173</v>
      </c>
    </row>
    <row r="20" spans="1:3" x14ac:dyDescent="0.2">
      <c r="A20">
        <v>10</v>
      </c>
      <c r="B20" t="s">
        <v>7</v>
      </c>
      <c r="C20">
        <v>300751</v>
      </c>
    </row>
    <row r="21" spans="1:3" x14ac:dyDescent="0.2">
      <c r="A21">
        <v>10</v>
      </c>
      <c r="B21" t="s">
        <v>8</v>
      </c>
      <c r="C21">
        <v>71035</v>
      </c>
    </row>
    <row r="22" spans="1:3" x14ac:dyDescent="0.2">
      <c r="A22">
        <v>11</v>
      </c>
      <c r="B22" t="s">
        <v>7</v>
      </c>
      <c r="C22">
        <v>158447</v>
      </c>
    </row>
    <row r="23" spans="1:3" x14ac:dyDescent="0.2">
      <c r="A23">
        <v>11</v>
      </c>
      <c r="B23" t="s">
        <v>8</v>
      </c>
      <c r="C23">
        <v>18729</v>
      </c>
    </row>
    <row r="24" spans="1:3" x14ac:dyDescent="0.2">
      <c r="A24">
        <v>12</v>
      </c>
      <c r="B24" t="s">
        <v>7</v>
      </c>
      <c r="C24">
        <v>138662</v>
      </c>
    </row>
    <row r="25" spans="1:3" x14ac:dyDescent="0.2">
      <c r="A25">
        <v>12</v>
      </c>
      <c r="B25" t="s">
        <v>8</v>
      </c>
      <c r="C25">
        <v>16430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20</v>
      </c>
      <c r="C1" t="s">
        <v>6</v>
      </c>
      <c r="D1" t="s">
        <v>21</v>
      </c>
    </row>
    <row r="2" spans="1:4" x14ac:dyDescent="0.2">
      <c r="A2" t="s">
        <v>7</v>
      </c>
      <c r="B2">
        <v>1399327</v>
      </c>
      <c r="C2">
        <v>2393963</v>
      </c>
      <c r="D2">
        <v>0.58450000000000002</v>
      </c>
    </row>
    <row r="3" spans="1:4" x14ac:dyDescent="0.2">
      <c r="A3" t="s">
        <v>8</v>
      </c>
      <c r="B3">
        <v>187808</v>
      </c>
      <c r="C3">
        <v>502402</v>
      </c>
      <c r="D3">
        <v>0.37380000000000002</v>
      </c>
    </row>
    <row r="4" spans="1:4" x14ac:dyDescent="0.2">
      <c r="A4" t="s">
        <v>9</v>
      </c>
      <c r="B4">
        <v>0</v>
      </c>
      <c r="C4">
        <v>0</v>
      </c>
      <c r="D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22</v>
      </c>
      <c r="C1" t="s">
        <v>23</v>
      </c>
      <c r="D1" t="s">
        <v>24</v>
      </c>
    </row>
    <row r="2" spans="1:4" x14ac:dyDescent="0.2">
      <c r="A2" t="s">
        <v>7</v>
      </c>
      <c r="B2">
        <v>47649</v>
      </c>
      <c r="C2">
        <v>2937367</v>
      </c>
      <c r="D2">
        <v>1.6199999999999999E-2</v>
      </c>
    </row>
    <row r="3" spans="1:4" x14ac:dyDescent="0.2">
      <c r="A3" t="s">
        <v>8</v>
      </c>
      <c r="B3">
        <v>104598</v>
      </c>
      <c r="C3">
        <v>880637</v>
      </c>
      <c r="D3">
        <v>0.1188</v>
      </c>
    </row>
    <row r="4" spans="1:4" x14ac:dyDescent="0.2">
      <c r="A4" t="s">
        <v>9</v>
      </c>
      <c r="B4">
        <v>0</v>
      </c>
      <c r="C4">
        <v>0</v>
      </c>
      <c r="D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B1" sqref="B1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25</v>
      </c>
      <c r="C1" t="s">
        <v>26</v>
      </c>
      <c r="D1" t="s">
        <v>23</v>
      </c>
      <c r="E1" t="s">
        <v>27</v>
      </c>
      <c r="F1" t="s">
        <v>28</v>
      </c>
    </row>
    <row r="2" spans="1:6" x14ac:dyDescent="0.2">
      <c r="A2" t="s">
        <v>7</v>
      </c>
      <c r="B2">
        <v>167600</v>
      </c>
      <c r="C2">
        <v>12230</v>
      </c>
      <c r="D2">
        <v>2937367</v>
      </c>
      <c r="E2">
        <v>5.7099999999999998E-2</v>
      </c>
      <c r="F2">
        <v>4.1999999999999997E-3</v>
      </c>
    </row>
    <row r="3" spans="1:6" x14ac:dyDescent="0.2">
      <c r="A3" t="s">
        <v>8</v>
      </c>
      <c r="B3">
        <v>361087</v>
      </c>
      <c r="C3">
        <v>145490</v>
      </c>
      <c r="D3">
        <v>880637</v>
      </c>
      <c r="E3">
        <v>0.41</v>
      </c>
      <c r="F3">
        <v>0.16520000000000001</v>
      </c>
    </row>
    <row r="4" spans="1:6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3"/>
  <sheetViews>
    <sheetView tabSelected="1" topLeftCell="A118" zoomScaleNormal="100" workbookViewId="0">
      <selection activeCell="C138" sqref="C138"/>
    </sheetView>
  </sheetViews>
  <sheetFormatPr baseColWidth="10" defaultColWidth="8.83203125" defaultRowHeight="15" x14ac:dyDescent="0.2"/>
  <sheetData>
    <row r="1" spans="1:3" x14ac:dyDescent="0.2">
      <c r="A1" t="s">
        <v>29</v>
      </c>
      <c r="B1" t="s">
        <v>30</v>
      </c>
      <c r="C1" t="s">
        <v>31</v>
      </c>
    </row>
    <row r="2" spans="1:3" x14ac:dyDescent="0.2">
      <c r="A2" t="s">
        <v>32</v>
      </c>
      <c r="B2">
        <v>458780</v>
      </c>
      <c r="C2">
        <v>101489</v>
      </c>
    </row>
    <row r="3" spans="1:3" x14ac:dyDescent="0.2">
      <c r="A3" t="s">
        <v>33</v>
      </c>
      <c r="B3">
        <v>497025</v>
      </c>
      <c r="C3">
        <v>88655</v>
      </c>
    </row>
    <row r="4" spans="1:3" x14ac:dyDescent="0.2">
      <c r="A4" t="s">
        <v>34</v>
      </c>
      <c r="B4">
        <v>494277</v>
      </c>
      <c r="C4">
        <v>89745</v>
      </c>
    </row>
    <row r="5" spans="1:3" x14ac:dyDescent="0.2">
      <c r="A5" t="s">
        <v>35</v>
      </c>
      <c r="B5">
        <v>486915</v>
      </c>
      <c r="C5">
        <v>101372</v>
      </c>
    </row>
    <row r="6" spans="1:3" x14ac:dyDescent="0.2">
      <c r="A6" t="s">
        <v>36</v>
      </c>
      <c r="B6">
        <v>456966</v>
      </c>
      <c r="C6">
        <v>121141</v>
      </c>
    </row>
    <row r="7" spans="1:3" x14ac:dyDescent="0.2">
      <c r="A7" t="s">
        <v>37</v>
      </c>
      <c r="B7">
        <v>287163</v>
      </c>
      <c r="C7">
        <v>208056</v>
      </c>
    </row>
    <row r="8" spans="1:3" x14ac:dyDescent="0.2">
      <c r="A8" t="s">
        <v>38</v>
      </c>
      <c r="B8">
        <v>256241</v>
      </c>
      <c r="C8">
        <v>170179</v>
      </c>
    </row>
    <row r="28" spans="1:3" x14ac:dyDescent="0.2">
      <c r="A28" t="s">
        <v>29</v>
      </c>
      <c r="B28" t="s">
        <v>30</v>
      </c>
      <c r="C28" t="s">
        <v>31</v>
      </c>
    </row>
    <row r="29" spans="1:3" x14ac:dyDescent="0.2">
      <c r="A29" t="s">
        <v>32</v>
      </c>
      <c r="B29">
        <v>854.65</v>
      </c>
      <c r="C29">
        <v>3269.73</v>
      </c>
    </row>
    <row r="30" spans="1:3" x14ac:dyDescent="0.2">
      <c r="A30" t="s">
        <v>33</v>
      </c>
      <c r="B30">
        <v>848.87</v>
      </c>
      <c r="C30">
        <v>3444.55</v>
      </c>
    </row>
    <row r="31" spans="1:3" x14ac:dyDescent="0.2">
      <c r="A31" t="s">
        <v>34</v>
      </c>
      <c r="B31">
        <v>828.31</v>
      </c>
      <c r="C31">
        <v>3619.96</v>
      </c>
    </row>
    <row r="32" spans="1:3" x14ac:dyDescent="0.2">
      <c r="A32" t="s">
        <v>35</v>
      </c>
      <c r="B32">
        <v>826.5</v>
      </c>
      <c r="C32">
        <v>3596.79</v>
      </c>
    </row>
    <row r="33" spans="1:3" x14ac:dyDescent="0.2">
      <c r="A33" t="s">
        <v>36</v>
      </c>
      <c r="B33">
        <v>833.58</v>
      </c>
      <c r="C33">
        <v>3610.35</v>
      </c>
    </row>
    <row r="34" spans="1:3" x14ac:dyDescent="0.2">
      <c r="A34" t="s">
        <v>37</v>
      </c>
      <c r="B34">
        <v>977.91</v>
      </c>
      <c r="C34">
        <v>3243.57</v>
      </c>
    </row>
    <row r="35" spans="1:3" x14ac:dyDescent="0.2">
      <c r="A35" t="s">
        <v>38</v>
      </c>
      <c r="B35">
        <v>923.84</v>
      </c>
      <c r="C35">
        <v>3370.84</v>
      </c>
    </row>
    <row r="55" spans="1:3" x14ac:dyDescent="0.2">
      <c r="A55" t="s">
        <v>29</v>
      </c>
      <c r="B55" t="s">
        <v>30</v>
      </c>
      <c r="C55" t="s">
        <v>31</v>
      </c>
    </row>
    <row r="56" spans="1:3" x14ac:dyDescent="0.2">
      <c r="A56" t="s">
        <v>39</v>
      </c>
      <c r="B56">
        <v>98670</v>
      </c>
      <c r="C56">
        <v>4602</v>
      </c>
    </row>
    <row r="57" spans="1:3" x14ac:dyDescent="0.2">
      <c r="A57" t="s">
        <v>40</v>
      </c>
      <c r="B57">
        <v>93548</v>
      </c>
      <c r="C57">
        <v>2638</v>
      </c>
    </row>
    <row r="58" spans="1:3" x14ac:dyDescent="0.2">
      <c r="A58" t="s">
        <v>41</v>
      </c>
      <c r="B58">
        <v>149688</v>
      </c>
      <c r="C58">
        <v>15923</v>
      </c>
    </row>
    <row r="59" spans="1:3" x14ac:dyDescent="0.2">
      <c r="A59" t="s">
        <v>42</v>
      </c>
      <c r="B59">
        <v>217566</v>
      </c>
      <c r="C59">
        <v>47744</v>
      </c>
    </row>
    <row r="60" spans="1:3" x14ac:dyDescent="0.2">
      <c r="A60" t="s">
        <v>43</v>
      </c>
      <c r="B60">
        <v>285834</v>
      </c>
      <c r="C60">
        <v>81624</v>
      </c>
    </row>
    <row r="61" spans="1:3" x14ac:dyDescent="0.2">
      <c r="A61" t="s">
        <v>44</v>
      </c>
      <c r="B61">
        <v>345177</v>
      </c>
      <c r="C61">
        <v>130218</v>
      </c>
    </row>
    <row r="62" spans="1:3" x14ac:dyDescent="0.2">
      <c r="A62" t="s">
        <v>45</v>
      </c>
      <c r="B62">
        <v>381683</v>
      </c>
      <c r="C62">
        <v>175632</v>
      </c>
    </row>
    <row r="63" spans="1:3" x14ac:dyDescent="0.2">
      <c r="A63" t="s">
        <v>46</v>
      </c>
      <c r="B63">
        <v>403295</v>
      </c>
      <c r="C63">
        <v>186889</v>
      </c>
    </row>
    <row r="64" spans="1:3" x14ac:dyDescent="0.2">
      <c r="A64" t="s">
        <v>47</v>
      </c>
      <c r="B64">
        <v>364046</v>
      </c>
      <c r="C64">
        <v>129173</v>
      </c>
    </row>
    <row r="65" spans="1:3" x14ac:dyDescent="0.2">
      <c r="A65" t="s">
        <v>48</v>
      </c>
      <c r="B65">
        <v>300751</v>
      </c>
      <c r="C65">
        <v>71035</v>
      </c>
    </row>
    <row r="66" spans="1:3" x14ac:dyDescent="0.2">
      <c r="A66" t="s">
        <v>49</v>
      </c>
      <c r="B66">
        <v>158447</v>
      </c>
      <c r="C66">
        <v>18729</v>
      </c>
    </row>
    <row r="67" spans="1:3" x14ac:dyDescent="0.2">
      <c r="A67" t="s">
        <v>50</v>
      </c>
      <c r="B67">
        <v>138662</v>
      </c>
      <c r="C67">
        <v>16430</v>
      </c>
    </row>
    <row r="87" spans="1:3" x14ac:dyDescent="0.2">
      <c r="A87" t="s">
        <v>29</v>
      </c>
      <c r="B87" t="s">
        <v>30</v>
      </c>
      <c r="C87" t="s">
        <v>31</v>
      </c>
    </row>
    <row r="88" spans="1:3" x14ac:dyDescent="0.2">
      <c r="A88" t="s">
        <v>51</v>
      </c>
      <c r="B88">
        <v>15874</v>
      </c>
      <c r="C88">
        <v>8204</v>
      </c>
    </row>
    <row r="89" spans="1:3" x14ac:dyDescent="0.2">
      <c r="A89" t="s">
        <v>54</v>
      </c>
      <c r="B89">
        <v>9033</v>
      </c>
      <c r="C89">
        <v>5384</v>
      </c>
    </row>
    <row r="90" spans="1:3" x14ac:dyDescent="0.2">
      <c r="A90" t="s">
        <v>54</v>
      </c>
      <c r="B90">
        <v>5329</v>
      </c>
      <c r="C90">
        <v>3335</v>
      </c>
    </row>
    <row r="91" spans="1:3" x14ac:dyDescent="0.2">
      <c r="A91" t="s">
        <v>56</v>
      </c>
      <c r="B91">
        <v>3686</v>
      </c>
      <c r="C91">
        <v>1925</v>
      </c>
    </row>
    <row r="92" spans="1:3" x14ac:dyDescent="0.2">
      <c r="A92" t="s">
        <v>54</v>
      </c>
      <c r="B92">
        <v>6614</v>
      </c>
      <c r="C92">
        <v>1175</v>
      </c>
    </row>
    <row r="93" spans="1:3" x14ac:dyDescent="0.2">
      <c r="A93" t="s">
        <v>54</v>
      </c>
      <c r="B93">
        <v>33156</v>
      </c>
      <c r="C93">
        <v>2614</v>
      </c>
    </row>
    <row r="94" spans="1:3" x14ac:dyDescent="0.2">
      <c r="A94" t="s">
        <v>55</v>
      </c>
      <c r="B94">
        <v>102141</v>
      </c>
      <c r="C94">
        <v>6091</v>
      </c>
    </row>
    <row r="95" spans="1:3" x14ac:dyDescent="0.2">
      <c r="A95" t="s">
        <v>54</v>
      </c>
      <c r="B95">
        <v>224842</v>
      </c>
      <c r="C95">
        <v>12866</v>
      </c>
    </row>
    <row r="96" spans="1:3" x14ac:dyDescent="0.2">
      <c r="A96" t="s">
        <v>54</v>
      </c>
      <c r="B96">
        <v>283982</v>
      </c>
      <c r="C96">
        <v>21798</v>
      </c>
    </row>
    <row r="97" spans="1:3" x14ac:dyDescent="0.2">
      <c r="A97" t="s">
        <v>57</v>
      </c>
      <c r="B97">
        <v>135131</v>
      </c>
      <c r="C97">
        <v>28702</v>
      </c>
    </row>
    <row r="98" spans="1:3" x14ac:dyDescent="0.2">
      <c r="A98" t="s">
        <v>54</v>
      </c>
      <c r="B98">
        <v>100700</v>
      </c>
      <c r="C98">
        <v>44764</v>
      </c>
    </row>
    <row r="99" spans="1:3" x14ac:dyDescent="0.2">
      <c r="A99" t="s">
        <v>54</v>
      </c>
      <c r="B99">
        <v>119930</v>
      </c>
      <c r="C99">
        <v>60036</v>
      </c>
    </row>
    <row r="100" spans="1:3" x14ac:dyDescent="0.2">
      <c r="A100" t="s">
        <v>52</v>
      </c>
      <c r="B100">
        <v>136676</v>
      </c>
      <c r="C100">
        <v>69591</v>
      </c>
    </row>
    <row r="101" spans="1:3" x14ac:dyDescent="0.2">
      <c r="A101" t="s">
        <v>54</v>
      </c>
      <c r="B101">
        <v>131946</v>
      </c>
      <c r="C101">
        <v>75179</v>
      </c>
    </row>
    <row r="102" spans="1:3" x14ac:dyDescent="0.2">
      <c r="A102" t="s">
        <v>54</v>
      </c>
      <c r="B102">
        <v>127914</v>
      </c>
      <c r="C102">
        <v>78471</v>
      </c>
    </row>
    <row r="103" spans="1:3" x14ac:dyDescent="0.2">
      <c r="A103" t="s">
        <v>53</v>
      </c>
      <c r="B103">
        <v>163346</v>
      </c>
      <c r="C103">
        <v>80094</v>
      </c>
    </row>
    <row r="104" spans="1:3" x14ac:dyDescent="0.2">
      <c r="A104" t="s">
        <v>54</v>
      </c>
      <c r="B104">
        <v>292901</v>
      </c>
      <c r="C104">
        <v>82877</v>
      </c>
    </row>
    <row r="105" spans="1:3" x14ac:dyDescent="0.2">
      <c r="A105" t="s">
        <v>54</v>
      </c>
      <c r="B105">
        <v>390667</v>
      </c>
      <c r="C105">
        <v>84487</v>
      </c>
    </row>
    <row r="106" spans="1:3" x14ac:dyDescent="0.2">
      <c r="A106" t="s">
        <v>58</v>
      </c>
      <c r="B106">
        <v>247234</v>
      </c>
      <c r="C106">
        <v>68019</v>
      </c>
    </row>
    <row r="107" spans="1:3" x14ac:dyDescent="0.2">
      <c r="A107" t="s">
        <v>54</v>
      </c>
      <c r="B107">
        <v>158385</v>
      </c>
      <c r="C107">
        <v>50375</v>
      </c>
    </row>
    <row r="108" spans="1:3" x14ac:dyDescent="0.2">
      <c r="A108" t="s">
        <v>54</v>
      </c>
      <c r="B108">
        <v>99757</v>
      </c>
      <c r="C108">
        <v>34403</v>
      </c>
    </row>
    <row r="109" spans="1:3" x14ac:dyDescent="0.2">
      <c r="A109" t="s">
        <v>59</v>
      </c>
      <c r="B109">
        <v>71268</v>
      </c>
      <c r="C109">
        <v>24925</v>
      </c>
    </row>
    <row r="110" spans="1:3" x14ac:dyDescent="0.2">
      <c r="B110">
        <v>48535</v>
      </c>
      <c r="C110">
        <v>21166</v>
      </c>
    </row>
    <row r="111" spans="1:3" x14ac:dyDescent="0.2">
      <c r="B111">
        <v>28320</v>
      </c>
      <c r="C111">
        <v>14156</v>
      </c>
    </row>
    <row r="131" spans="1:3" x14ac:dyDescent="0.2">
      <c r="A131" t="s">
        <v>0</v>
      </c>
      <c r="B131" t="s">
        <v>60</v>
      </c>
      <c r="C131" t="s">
        <v>61</v>
      </c>
    </row>
    <row r="132" spans="1:3" x14ac:dyDescent="0.2">
      <c r="A132" t="s">
        <v>7</v>
      </c>
      <c r="B132">
        <v>0.18499697177778601</v>
      </c>
      <c r="C132">
        <v>0.81500302822221393</v>
      </c>
    </row>
    <row r="133" spans="1:3" x14ac:dyDescent="0.2">
      <c r="A133" t="s">
        <v>8</v>
      </c>
      <c r="B133">
        <v>0.42950159941042682</v>
      </c>
      <c r="C133">
        <v>0.57049840058957324</v>
      </c>
    </row>
    <row r="151" spans="1:4" x14ac:dyDescent="0.2">
      <c r="A151" t="s">
        <v>0</v>
      </c>
      <c r="B151" t="s">
        <v>64</v>
      </c>
      <c r="C151" t="s">
        <v>62</v>
      </c>
      <c r="D151" t="s">
        <v>63</v>
      </c>
    </row>
    <row r="152" spans="1:4" x14ac:dyDescent="0.2">
      <c r="A152" t="s">
        <v>7</v>
      </c>
      <c r="B152">
        <f>1-SUM(C152:D152)</f>
        <v>0.93869999999999998</v>
      </c>
      <c r="C152">
        <v>5.7099999999999998E-2</v>
      </c>
      <c r="D152">
        <v>4.1999999999999997E-3</v>
      </c>
    </row>
    <row r="153" spans="1:4" x14ac:dyDescent="0.2">
      <c r="A153" t="s">
        <v>8</v>
      </c>
      <c r="B153">
        <f>1-SUM(C153:D153)</f>
        <v>0.42480000000000007</v>
      </c>
      <c r="C153">
        <v>0.41</v>
      </c>
      <c r="D153">
        <v>0.16520000000000001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summary_overall</vt:lpstr>
      <vt:lpstr>rides_by_day_user</vt:lpstr>
      <vt:lpstr>avg_ride_by_day</vt:lpstr>
      <vt:lpstr>rides_by_hour</vt:lpstr>
      <vt:lpstr>rides_by_month</vt:lpstr>
      <vt:lpstr>commute_share</vt:lpstr>
      <vt:lpstr>round_trip_share</vt:lpstr>
      <vt:lpstr>long_ride_share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Ledwon</cp:lastModifiedBy>
  <dcterms:created xsi:type="dcterms:W3CDTF">2026-02-06T01:01:39Z</dcterms:created>
  <dcterms:modified xsi:type="dcterms:W3CDTF">2026-02-06T02:51:13Z</dcterms:modified>
</cp:coreProperties>
</file>